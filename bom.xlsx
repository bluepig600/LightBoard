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\Documents\work-sign\"/>
    </mc:Choice>
  </mc:AlternateContent>
  <xr:revisionPtr revIDLastSave="0" documentId="13_ncr:1_{A3529A03-F11B-4F26-9F1F-37EB742254FE}" xr6:coauthVersionLast="47" xr6:coauthVersionMax="47" xr10:uidLastSave="{00000000-0000-0000-0000-000000000000}"/>
  <bookViews>
    <workbookView xWindow="-108" yWindow="-108" windowWidth="23256" windowHeight="13176" xr2:uid="{65FF75E3-ED98-4EE0-A10A-1D060FB74263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E7" i="1"/>
  <c r="G5" i="1"/>
  <c r="E6" i="1"/>
  <c r="E5" i="1"/>
  <c r="E4" i="1"/>
  <c r="E3" i="1"/>
  <c r="E2" i="1"/>
  <c r="G2" i="1" s="1"/>
  <c r="G3" i="1" l="1"/>
  <c r="G4" i="1" s="1"/>
</calcChain>
</file>

<file path=xl/sharedStrings.xml><?xml version="1.0" encoding="utf-8"?>
<sst xmlns="http://schemas.openxmlformats.org/spreadsheetml/2006/main" count="25" uniqueCount="25">
  <si>
    <t>Item</t>
  </si>
  <si>
    <t>Description</t>
  </si>
  <si>
    <t>Quantity</t>
  </si>
  <si>
    <t>Unit Price (CAD)</t>
  </si>
  <si>
    <t>Total Price (CAD)</t>
  </si>
  <si>
    <t>URL</t>
  </si>
  <si>
    <t>Running Total (CAD) with tax</t>
  </si>
  <si>
    <t>USB-C cable</t>
  </si>
  <si>
    <t>Used to program esp32, I don't have a usb c data cable</t>
  </si>
  <si>
    <t>ESP32 WROOM-32</t>
  </si>
  <si>
    <t>https://www.aliexpress.com/item/1005009963609022.html</t>
  </si>
  <si>
    <t>https://www.aliexpress.com/item/1005005953505528.html</t>
  </si>
  <si>
    <t>esp32</t>
  </si>
  <si>
    <t>Switching Power Supply Lighting Transformer</t>
  </si>
  <si>
    <t>60W/80W Electric Soldering Iron</t>
  </si>
  <si>
    <t>Soldering Iron</t>
  </si>
  <si>
    <t>https://www.aliexpress.com/item/1005005391946895.html</t>
  </si>
  <si>
    <t>https://www.aliexpress.com/item/1005007087317638.html</t>
  </si>
  <si>
    <t>12v 2A Power Supply</t>
  </si>
  <si>
    <t>https://www.aliexpress.com/item/1005005321856209.html</t>
  </si>
  <si>
    <t>5M Silver Plated Copper Wire 24AWG</t>
  </si>
  <si>
    <t>for connecting esp32 and led strips</t>
  </si>
  <si>
    <t>ws2815 led strip</t>
  </si>
  <si>
    <t>5meters and 60leds/m</t>
  </si>
  <si>
    <t>https://www.aliexpress.com/item/1005004215667132.html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</si>
</sst>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item/1005005391946895.html" TargetMode="External"/><Relationship Id="rId2" Type="http://schemas.openxmlformats.org/officeDocument/2006/relationships/hyperlink" Target="https://www.aliexpress.com/item/1005005953505528.html" TargetMode="External"/><Relationship Id="rId1" Type="http://schemas.openxmlformats.org/officeDocument/2006/relationships/hyperlink" Target="https://www.aliexpress.com/item/1005009963609022.html" TargetMode="External"/><Relationship Id="rId6" Type="http://schemas.openxmlformats.org/officeDocument/2006/relationships/hyperlink" Target="https://www.aliexpress.com/item/1005004215667132.html" TargetMode="External"/><Relationship Id="rId5" Type="http://schemas.openxmlformats.org/officeDocument/2006/relationships/hyperlink" Target="https://www.aliexpress.com/item/1005005321856209.html" TargetMode="External"/><Relationship Id="rId4" Type="http://schemas.openxmlformats.org/officeDocument/2006/relationships/hyperlink" Target="https://www.aliexpress.com/item/100500708731763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727A-81B0-4FD1-B53A-EDF9F932D237}">
  <dimension ref="A1:G7"/>
  <sheetViews>
    <sheetView tabSelected="1" workbookViewId="0">
      <selection activeCell="G8" sqref="G8"/>
    </sheetView>
  </sheetViews>
  <sheetFormatPr defaultRowHeight="14.4" x14ac:dyDescent="0.3"/>
  <cols>
    <col min="1" max="1" width="35.88671875" customWidth="1"/>
    <col min="2" max="2" width="28" customWidth="1"/>
    <col min="4" max="4" width="13.33203125" customWidth="1"/>
    <col min="5" max="5" width="15" customWidth="1"/>
    <col min="6" max="6" width="48.21875" customWidth="1"/>
    <col min="7" max="7" width="26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9</v>
      </c>
      <c r="B2" t="s">
        <v>12</v>
      </c>
      <c r="C2">
        <v>1</v>
      </c>
      <c r="D2">
        <v>5.49</v>
      </c>
      <c r="E2">
        <f>C2*D2</f>
        <v>5.49</v>
      </c>
      <c r="F2" s="2" t="s">
        <v>11</v>
      </c>
      <c r="G2">
        <f>ROUND(E2*1.12,2)</f>
        <v>6.15</v>
      </c>
    </row>
    <row r="3" spans="1:7" ht="12.6" customHeight="1" x14ac:dyDescent="0.3">
      <c r="A3" t="s">
        <v>7</v>
      </c>
      <c r="B3" t="s">
        <v>8</v>
      </c>
      <c r="C3">
        <v>1</v>
      </c>
      <c r="D3">
        <v>4.72</v>
      </c>
      <c r="E3">
        <f>C3*D3</f>
        <v>4.72</v>
      </c>
      <c r="F3" s="2" t="s">
        <v>10</v>
      </c>
      <c r="G3">
        <f>ROUND(E3*1.12,2)+G2</f>
        <v>11.440000000000001</v>
      </c>
    </row>
    <row r="4" spans="1:7" x14ac:dyDescent="0.3">
      <c r="A4" t="s">
        <v>13</v>
      </c>
      <c r="B4" t="s">
        <v>18</v>
      </c>
      <c r="C4">
        <v>1</v>
      </c>
      <c r="D4">
        <v>5.22</v>
      </c>
      <c r="E4">
        <f>C4*D4</f>
        <v>5.22</v>
      </c>
      <c r="F4" s="2" t="s">
        <v>17</v>
      </c>
      <c r="G4">
        <f>ROUND(E4*1.12,2)+G3</f>
        <v>17.29</v>
      </c>
    </row>
    <row r="5" spans="1:7" x14ac:dyDescent="0.3">
      <c r="A5" t="s">
        <v>14</v>
      </c>
      <c r="B5" t="s">
        <v>15</v>
      </c>
      <c r="C5">
        <v>1</v>
      </c>
      <c r="D5">
        <v>10.23</v>
      </c>
      <c r="E5">
        <f>C5*D5</f>
        <v>10.23</v>
      </c>
      <c r="F5" s="2" t="s">
        <v>16</v>
      </c>
      <c r="G5">
        <f>ROUND(E5*1.12,2)+G4</f>
        <v>28.75</v>
      </c>
    </row>
    <row r="6" spans="1:7" x14ac:dyDescent="0.3">
      <c r="A6" t="s">
        <v>20</v>
      </c>
      <c r="B6" t="s">
        <v>21</v>
      </c>
      <c r="C6">
        <v>1</v>
      </c>
      <c r="D6">
        <v>3.46</v>
      </c>
      <c r="E6">
        <f>C6*D6</f>
        <v>3.46</v>
      </c>
      <c r="F6" s="2" t="s">
        <v>19</v>
      </c>
      <c r="G6">
        <f>ROUND(E6*1.12,2)+G5</f>
        <v>32.630000000000003</v>
      </c>
    </row>
    <row r="7" spans="1:7" x14ac:dyDescent="0.3">
      <c r="A7" t="s">
        <v>22</v>
      </c>
      <c r="B7" t="s">
        <v>23</v>
      </c>
      <c r="C7">
        <v>1</v>
      </c>
      <c r="D7">
        <v>33.08</v>
      </c>
      <c r="E7">
        <f>C7*D7</f>
        <v>33.08</v>
      </c>
      <c r="F7" s="2" t="s">
        <v>24</v>
      </c>
      <c r="G7">
        <f>ROUND(E7*1.12,2)+G6</f>
        <v>69.680000000000007</v>
      </c>
    </row>
  </sheetData>
  <hyperlinks>
    <hyperlink ref="F3" r:id="rId1" xr:uid="{8D4DE6EF-DBE7-4E2E-8DD7-E4A5DF6306FE}"/>
    <hyperlink ref="F2" r:id="rId2" xr:uid="{BAC3F642-A000-4A21-847E-25A06488169A}"/>
    <hyperlink ref="F5" r:id="rId3" xr:uid="{E1729C5F-3319-4B4C-AD5A-4218366D0EBD}"/>
    <hyperlink ref="F4" r:id="rId4" xr:uid="{E76D08EC-F8C5-41DC-8AD5-C2C1B1CA6E5F}"/>
    <hyperlink ref="F6" r:id="rId5" xr:uid="{8692D94E-AF95-4422-B8EE-D9118A6882CA}"/>
    <hyperlink ref="F7" r:id="rId6" xr:uid="{94C849D9-D122-4794-AE4D-4BD6DC5F91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 Wetmore</cp:lastModifiedBy>
  <dcterms:created xsi:type="dcterms:W3CDTF">2025-11-11T21:25:47Z</dcterms:created>
  <dcterms:modified xsi:type="dcterms:W3CDTF">2025-11-22T17:53:19Z</dcterms:modified>
</cp:coreProperties>
</file>